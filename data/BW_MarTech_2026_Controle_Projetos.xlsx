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colas.Kuhnast\Downloads\"/>
    </mc:Choice>
  </mc:AlternateContent>
  <xr:revisionPtr revIDLastSave="0" documentId="8_{00AB4088-7278-4851-B6C0-74FA3E6FEF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racker" sheetId="1" r:id="rId1"/>
    <sheet name="Painel" sheetId="2" r:id="rId2"/>
    <sheet name="Legenda" sheetId="3" r:id="rId3"/>
  </sheets>
  <definedNames>
    <definedName name="_xlnm._FilterDatabase" localSheetId="0" hidden="1">Tracker!$A$3:$K$42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D9" i="2"/>
  <c r="C9" i="2"/>
  <c r="B9" i="2"/>
  <c r="F9" i="2" s="1"/>
  <c r="G9" i="2" s="1"/>
  <c r="E8" i="2"/>
  <c r="D8" i="2"/>
  <c r="C8" i="2"/>
  <c r="B8" i="2"/>
  <c r="F8" i="2" s="1"/>
  <c r="G8" i="2" s="1"/>
  <c r="E7" i="2"/>
  <c r="D7" i="2"/>
  <c r="C7" i="2"/>
  <c r="B7" i="2"/>
  <c r="F7" i="2" s="1"/>
  <c r="G7" i="2" s="1"/>
  <c r="E6" i="2"/>
  <c r="D6" i="2"/>
  <c r="C6" i="2"/>
  <c r="B6" i="2"/>
  <c r="F6" i="2" s="1"/>
  <c r="G6" i="2" s="1"/>
  <c r="E5" i="2"/>
  <c r="D5" i="2"/>
  <c r="C5" i="2"/>
  <c r="B5" i="2"/>
  <c r="F5" i="2" s="1"/>
  <c r="G5" i="2" s="1"/>
  <c r="E4" i="2"/>
  <c r="E10" i="2" s="1"/>
  <c r="D4" i="2"/>
  <c r="C4" i="2"/>
  <c r="C10" i="2" s="1"/>
  <c r="B4" i="2"/>
  <c r="B10" i="2" l="1"/>
  <c r="F4" i="2"/>
  <c r="D10" i="2"/>
  <c r="H4" i="2"/>
  <c r="H5" i="2"/>
  <c r="H6" i="2"/>
  <c r="H7" i="2"/>
  <c r="H8" i="2"/>
  <c r="H9" i="2"/>
  <c r="F10" i="2" l="1"/>
  <c r="G10" i="2" s="1"/>
  <c r="G4" i="2"/>
</calcChain>
</file>

<file path=xl/sharedStrings.xml><?xml version="1.0" encoding="utf-8"?>
<sst xmlns="http://schemas.openxmlformats.org/spreadsheetml/2006/main" count="296" uniqueCount="73">
  <si>
    <t>B&amp;W Marketing Technology 2026 — Controle de Projetos</t>
  </si>
  <si>
    <t>Farol por mercado (BR / MX / AR)  ·  atualize a coluna de status semanalmente  ·  Consumer BPC</t>
  </si>
  <si>
    <t>Frente</t>
  </si>
  <si>
    <t>Iniciativa</t>
  </si>
  <si>
    <t>Item</t>
  </si>
  <si>
    <t>Fase</t>
  </si>
  <si>
    <t>BR</t>
  </si>
  <si>
    <t>MX</t>
  </si>
  <si>
    <t>AR</t>
  </si>
  <si>
    <t>Responsável</t>
  </si>
  <si>
    <t>Próximo passo</t>
  </si>
  <si>
    <t>Prazo</t>
  </si>
  <si>
    <t>Comentários</t>
  </si>
  <si>
    <t>Insights</t>
  </si>
  <si>
    <t>Winnin</t>
  </si>
  <si>
    <t>Deployment</t>
  </si>
  <si>
    <t>No prazo</t>
  </si>
  <si>
    <t>Adoption</t>
  </si>
  <si>
    <t>Atenção</t>
  </si>
  <si>
    <t>5Vs Dashboard</t>
  </si>
  <si>
    <t>Não iniciado</t>
  </si>
  <si>
    <t>Crítico</t>
  </si>
  <si>
    <t>FIBRA</t>
  </si>
  <si>
    <t>N/A</t>
  </si>
  <si>
    <t>Share and Markets</t>
  </si>
  <si>
    <t>Media &amp; Influencer</t>
  </si>
  <si>
    <t>Media Data Automation</t>
  </si>
  <si>
    <t>Rapid ROI Always On</t>
  </si>
  <si>
    <t>Influencer Management</t>
  </si>
  <si>
    <t>dCom and Social Commerce</t>
  </si>
  <si>
    <t>dCom Data Automation</t>
  </si>
  <si>
    <t>Perfect Store Online</t>
  </si>
  <si>
    <t>Social Commerce</t>
  </si>
  <si>
    <t>CoPilot and Agentic</t>
  </si>
  <si>
    <t>Brands Training</t>
  </si>
  <si>
    <t>Dove</t>
  </si>
  <si>
    <t>Status</t>
  </si>
  <si>
    <t>Clear</t>
  </si>
  <si>
    <t>Tresemme</t>
  </si>
  <si>
    <t>Seda / Sedal</t>
  </si>
  <si>
    <t>Savilé</t>
  </si>
  <si>
    <t>Liquid IV</t>
  </si>
  <si>
    <t>Functions Training</t>
  </si>
  <si>
    <t>CMI</t>
  </si>
  <si>
    <t>Agents</t>
  </si>
  <si>
    <t>Buzz Factory</t>
  </si>
  <si>
    <t>Winnin Share</t>
  </si>
  <si>
    <t>LLM Search / GEO</t>
  </si>
  <si>
    <t>Website Optimization</t>
  </si>
  <si>
    <t>R&amp;D Say Agent</t>
  </si>
  <si>
    <t>Profound Agent</t>
  </si>
  <si>
    <t>Repeatable Model</t>
  </si>
  <si>
    <t>Framework</t>
  </si>
  <si>
    <t>Beauty Tech</t>
  </si>
  <si>
    <t>Immersive Experiences</t>
  </si>
  <si>
    <t>Unbranded</t>
  </si>
  <si>
    <t>Painel de Saúde — Status por Frente</t>
  </si>
  <si>
    <t>Total ativo</t>
  </si>
  <si>
    <t>% No prazo</t>
  </si>
  <si>
    <t>Farol</t>
  </si>
  <si>
    <t>TOTAL</t>
  </si>
  <si>
    <t>Obs.: contagem considera as células de status BR+MX+AR de cada frente (exclui N/A). Atualize o Tracker e os números aqui recalculam automaticamente.</t>
  </si>
  <si>
    <t>Legenda de Status</t>
  </si>
  <si>
    <t>Significado</t>
  </si>
  <si>
    <t>Entregue / rodando conforme o plano</t>
  </si>
  <si>
    <t>Em andamento com atenção / risco moderado</t>
  </si>
  <si>
    <t>Atrasado ou bloqueado — requer ação</t>
  </si>
  <si>
    <t>Ainda não iniciado</t>
  </si>
  <si>
    <t>Não se aplica a este mercado</t>
  </si>
  <si>
    <t>Mercados</t>
  </si>
  <si>
    <t>Brasil</t>
  </si>
  <si>
    <t>México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</si>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</sst>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5B4B9E"/>
      <name val="Arial"/>
      <charset val="1"/>
    </font>
    <font>
      <b/>
      <sz val="10"/>
      <color rgb="FFFFFFFF"/>
      <name val="Arial"/>
      <charset val="1"/>
    </font>
    <font>
      <b/>
      <sz val="10"/>
      <color rgb="FF3D2B7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1E7B34"/>
      <name val="Arial"/>
      <charset val="1"/>
    </font>
    <font>
      <sz val="10"/>
      <color rgb="FF9C6500"/>
      <name val="Arial"/>
      <charset val="1"/>
    </font>
    <font>
      <sz val="10"/>
      <color rgb="FF7F7F7F"/>
      <name val="Arial"/>
      <charset val="1"/>
    </font>
    <font>
      <sz val="10"/>
      <color rgb="FF9C0006"/>
      <name val="Arial"/>
      <charset val="1"/>
    </font>
    <font>
      <sz val="10"/>
      <color rgb="FFBFBFBF"/>
      <name val="Arial"/>
      <charset val="1"/>
    </font>
    <font>
      <i/>
      <sz val="9"/>
      <color rgb="FF7F7F7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3D2B7A"/>
      <name val="Arial"/>
      <charset val="1"/>
    </font>
    <font>
      <b/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3D2B7A"/>
        <bgColor rgb="FF333333"/>
      </patternFill>
    </fill>
    <fill>
      <patternFill patternType="solid">
        <fgColor rgb="FFEDE9F7"/>
        <bgColor rgb="FFF5F5F5"/>
      </patternFill>
    </fill>
    <fill>
      <patternFill patternType="solid">
        <fgColor rgb="FF5B4B9E"/>
        <bgColor rgb="FF3D2B7A"/>
      </patternFill>
    </fill>
    <fill>
      <patternFill patternType="solid">
        <fgColor rgb="FFC6EFCE"/>
        <bgColor rgb="FFE2E2E2"/>
      </patternFill>
    </fill>
    <fill>
      <patternFill patternType="solid">
        <fgColor rgb="FFFFEB9C"/>
        <bgColor rgb="FFE2E2E2"/>
      </patternFill>
    </fill>
    <fill>
      <patternFill patternType="solid">
        <fgColor rgb="FFE2E2E2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14" fillId="4" borderId="0" xfId="0" applyFont="1" applyFill="1"/>
    <xf numFmtId="0" fontId="6" fillId="0" borderId="1" xfId="0" applyFont="1" applyBorder="1" applyAlignment="1">
      <alignment horizontal="left" vertical="center" indent="1"/>
    </xf>
    <xf numFmtId="0" fontId="15" fillId="0" borderId="0" xfId="0" applyFont="1"/>
    <xf numFmtId="0" fontId="16" fillId="0" borderId="0" xfId="0" applyFont="1"/>
    <xf numFmtId="0" fontId="6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2" fillId="0" borderId="0" xfId="0" applyFont="1"/>
    <xf numFmtId="0" fontId="13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5">
    <dxf>
      <font>
        <sz val="10"/>
        <color rgb="FFBFBFBF"/>
        <name val="Arial"/>
        <charset val="1"/>
      </font>
      <fill>
        <patternFill>
          <bgColor rgb="FFF5F5F5"/>
        </patternFill>
      </fill>
    </dxf>
    <dxf>
      <font>
        <sz val="10"/>
        <color rgb="FF7F7F7F"/>
        <name val="Arial"/>
        <charset val="1"/>
      </font>
      <fill>
        <patternFill>
          <bgColor rgb="FFE2E2E2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E7B34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B34"/>
      <rgbColor rgb="FF000080"/>
      <rgbColor rgb="FF9C6500"/>
      <rgbColor rgb="FF800080"/>
      <rgbColor rgb="FF008080"/>
      <rgbColor rgb="FFBFBFBF"/>
      <rgbColor rgb="FF7F7F7F"/>
      <rgbColor rgb="FF9999FF"/>
      <rgbColor rgb="FF993366"/>
      <rgbColor rgb="FFF5F5F5"/>
      <rgbColor rgb="FFEDE9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2E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4B9E"/>
      <rgbColor rgb="FF969696"/>
      <rgbColor rgb="FF003366"/>
      <rgbColor rgb="FF339966"/>
      <rgbColor rgb="FF003300"/>
      <rgbColor rgb="FF333300"/>
      <rgbColor rgb="FF993300"/>
      <rgbColor rgb="FF993366"/>
      <rgbColor rgb="FF3D2B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7</xdr:col>
      <xdr:colOff>771525</xdr:colOff>
      <xdr:row>83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C11967-7B9B-AA5A-BE0A-3D5982B54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68050"/>
          <a:ext cx="10201275" cy="573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Normal="100" workbookViewId="0">
      <pane ySplit="3" topLeftCell="A4" activePane="bottomLeft" state="frozen"/>
      <selection pane="bottomLeft" activeCell="A54" sqref="A54"/>
    </sheetView>
  </sheetViews>
  <sheetFormatPr defaultColWidth="8.7265625" defaultRowHeight="14.5" x14ac:dyDescent="0.35"/>
  <cols>
    <col min="1" max="1" width="43" customWidth="1"/>
    <col min="2" max="2" width="31.453125" customWidth="1"/>
    <col min="3" max="3" width="15" customWidth="1"/>
    <col min="4" max="7" width="13" customWidth="1"/>
    <col min="8" max="8" width="18" customWidth="1"/>
    <col min="9" max="9" width="30" customWidth="1"/>
    <col min="10" max="10" width="12" customWidth="1"/>
    <col min="11" max="11" width="28" customWidth="1"/>
  </cols>
  <sheetData>
    <row r="1" spans="1:11" ht="30" customHeigh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8" customHeight="1" x14ac:dyDescent="0.3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35">
      <c r="A4" s="2" t="s">
        <v>13</v>
      </c>
      <c r="B4" s="3" t="s">
        <v>14</v>
      </c>
      <c r="C4" s="4"/>
      <c r="D4" s="4" t="s">
        <v>15</v>
      </c>
      <c r="E4" s="5" t="s">
        <v>16</v>
      </c>
      <c r="F4" s="5" t="s">
        <v>16</v>
      </c>
      <c r="G4" s="5" t="s">
        <v>16</v>
      </c>
      <c r="H4" s="4"/>
      <c r="I4" s="4"/>
      <c r="J4" s="4"/>
      <c r="K4" s="4"/>
    </row>
    <row r="5" spans="1:11" x14ac:dyDescent="0.35">
      <c r="A5" s="2" t="s">
        <v>13</v>
      </c>
      <c r="B5" s="3" t="s">
        <v>14</v>
      </c>
      <c r="C5" s="4"/>
      <c r="D5" s="4" t="s">
        <v>17</v>
      </c>
      <c r="E5" s="5" t="s">
        <v>16</v>
      </c>
      <c r="F5" s="5" t="s">
        <v>16</v>
      </c>
      <c r="G5" s="6" t="s">
        <v>18</v>
      </c>
      <c r="H5" s="4"/>
      <c r="I5" s="4"/>
      <c r="J5" s="4"/>
      <c r="K5" s="4"/>
    </row>
    <row r="6" spans="1:11" x14ac:dyDescent="0.35">
      <c r="A6" s="2" t="s">
        <v>13</v>
      </c>
      <c r="B6" s="3" t="s">
        <v>19</v>
      </c>
      <c r="C6" s="4"/>
      <c r="D6" s="4" t="s">
        <v>15</v>
      </c>
      <c r="E6" s="5" t="s">
        <v>16</v>
      </c>
      <c r="F6" s="5" t="s">
        <v>16</v>
      </c>
      <c r="G6" s="7" t="s">
        <v>20</v>
      </c>
      <c r="H6" s="4"/>
      <c r="I6" s="4"/>
      <c r="J6" s="4"/>
      <c r="K6" s="4"/>
    </row>
    <row r="7" spans="1:11" x14ac:dyDescent="0.35">
      <c r="A7" s="2" t="s">
        <v>13</v>
      </c>
      <c r="B7" s="3" t="s">
        <v>19</v>
      </c>
      <c r="C7" s="4"/>
      <c r="D7" s="4" t="s">
        <v>17</v>
      </c>
      <c r="E7" s="8" t="s">
        <v>21</v>
      </c>
      <c r="F7" s="5" t="s">
        <v>16</v>
      </c>
      <c r="G7" s="7" t="s">
        <v>20</v>
      </c>
      <c r="H7" s="4"/>
      <c r="I7" s="4"/>
      <c r="J7" s="4"/>
      <c r="K7" s="4"/>
    </row>
    <row r="8" spans="1:11" x14ac:dyDescent="0.35">
      <c r="A8" s="2" t="s">
        <v>13</v>
      </c>
      <c r="B8" s="3" t="s">
        <v>22</v>
      </c>
      <c r="C8" s="4"/>
      <c r="D8" s="4" t="s">
        <v>15</v>
      </c>
      <c r="E8" s="5" t="s">
        <v>16</v>
      </c>
      <c r="F8" s="9" t="s">
        <v>23</v>
      </c>
      <c r="G8" s="9" t="s">
        <v>23</v>
      </c>
      <c r="H8" s="4"/>
      <c r="I8" s="4"/>
      <c r="J8" s="4"/>
      <c r="K8" s="4"/>
    </row>
    <row r="9" spans="1:11" x14ac:dyDescent="0.35">
      <c r="A9" s="2" t="s">
        <v>13</v>
      </c>
      <c r="B9" s="3" t="s">
        <v>22</v>
      </c>
      <c r="C9" s="4"/>
      <c r="D9" s="4" t="s">
        <v>17</v>
      </c>
      <c r="E9" s="8" t="s">
        <v>21</v>
      </c>
      <c r="F9" s="9" t="s">
        <v>23</v>
      </c>
      <c r="G9" s="9" t="s">
        <v>23</v>
      </c>
      <c r="H9" s="4"/>
      <c r="I9" s="4"/>
      <c r="J9" s="4"/>
      <c r="K9" s="4"/>
    </row>
    <row r="10" spans="1:11" x14ac:dyDescent="0.35">
      <c r="A10" s="2" t="s">
        <v>13</v>
      </c>
      <c r="B10" s="3" t="s">
        <v>24</v>
      </c>
      <c r="C10" s="4"/>
      <c r="D10" s="4" t="s">
        <v>15</v>
      </c>
      <c r="E10" s="7" t="s">
        <v>20</v>
      </c>
      <c r="F10" s="7" t="s">
        <v>20</v>
      </c>
      <c r="G10" s="7" t="s">
        <v>20</v>
      </c>
      <c r="H10" s="4"/>
      <c r="I10" s="4"/>
      <c r="J10" s="4"/>
      <c r="K10" s="4"/>
    </row>
    <row r="11" spans="1:11" x14ac:dyDescent="0.35">
      <c r="A11" s="2" t="s">
        <v>13</v>
      </c>
      <c r="B11" s="3" t="s">
        <v>24</v>
      </c>
      <c r="C11" s="4"/>
      <c r="D11" s="4" t="s">
        <v>17</v>
      </c>
      <c r="E11" s="7" t="s">
        <v>20</v>
      </c>
      <c r="F11" s="7" t="s">
        <v>20</v>
      </c>
      <c r="G11" s="7" t="s">
        <v>20</v>
      </c>
      <c r="H11" s="4"/>
      <c r="I11" s="4"/>
      <c r="J11" s="4"/>
      <c r="K11" s="4"/>
    </row>
    <row r="12" spans="1:11" x14ac:dyDescent="0.35">
      <c r="A12" s="2" t="s">
        <v>25</v>
      </c>
      <c r="B12" s="3" t="s">
        <v>26</v>
      </c>
      <c r="C12" s="4"/>
      <c r="D12" s="4" t="s">
        <v>15</v>
      </c>
      <c r="E12" s="5" t="s">
        <v>16</v>
      </c>
      <c r="F12" s="5" t="s">
        <v>16</v>
      </c>
      <c r="G12" s="5" t="s">
        <v>16</v>
      </c>
      <c r="H12" s="4"/>
      <c r="I12" s="4"/>
      <c r="J12" s="4"/>
      <c r="K12" s="4"/>
    </row>
    <row r="13" spans="1:11" x14ac:dyDescent="0.35">
      <c r="A13" s="2" t="s">
        <v>25</v>
      </c>
      <c r="B13" s="3" t="s">
        <v>26</v>
      </c>
      <c r="C13" s="4"/>
      <c r="D13" s="4" t="s">
        <v>17</v>
      </c>
      <c r="E13" s="5" t="s">
        <v>16</v>
      </c>
      <c r="F13" s="5" t="s">
        <v>16</v>
      </c>
      <c r="G13" s="5" t="s">
        <v>16</v>
      </c>
      <c r="H13" s="4"/>
      <c r="I13" s="4"/>
      <c r="J13" s="4"/>
      <c r="K13" s="4"/>
    </row>
    <row r="14" spans="1:11" x14ac:dyDescent="0.35">
      <c r="A14" s="2" t="s">
        <v>25</v>
      </c>
      <c r="B14" s="3" t="s">
        <v>27</v>
      </c>
      <c r="C14" s="4"/>
      <c r="D14" s="4" t="s">
        <v>15</v>
      </c>
      <c r="E14" s="6" t="s">
        <v>18</v>
      </c>
      <c r="F14" s="6" t="s">
        <v>18</v>
      </c>
      <c r="G14" s="6" t="s">
        <v>18</v>
      </c>
      <c r="H14" s="4"/>
      <c r="I14" s="4"/>
      <c r="J14" s="4"/>
      <c r="K14" s="4"/>
    </row>
    <row r="15" spans="1:11" x14ac:dyDescent="0.35">
      <c r="A15" s="2" t="s">
        <v>25</v>
      </c>
      <c r="B15" s="3" t="s">
        <v>27</v>
      </c>
      <c r="C15" s="4"/>
      <c r="D15" s="4" t="s">
        <v>17</v>
      </c>
      <c r="E15" s="7" t="s">
        <v>20</v>
      </c>
      <c r="F15" s="7" t="s">
        <v>20</v>
      </c>
      <c r="G15" s="7" t="s">
        <v>20</v>
      </c>
      <c r="H15" s="4"/>
      <c r="I15" s="4"/>
      <c r="J15" s="4"/>
      <c r="K15" s="4"/>
    </row>
    <row r="16" spans="1:11" x14ac:dyDescent="0.35">
      <c r="A16" s="2" t="s">
        <v>25</v>
      </c>
      <c r="B16" s="3" t="s">
        <v>28</v>
      </c>
      <c r="C16" s="4"/>
      <c r="D16" s="4" t="s">
        <v>15</v>
      </c>
      <c r="E16" s="7" t="s">
        <v>20</v>
      </c>
      <c r="F16" s="5" t="s">
        <v>16</v>
      </c>
      <c r="G16" s="7" t="s">
        <v>20</v>
      </c>
      <c r="H16" s="4"/>
      <c r="I16" s="4"/>
      <c r="J16" s="4"/>
      <c r="K16" s="4"/>
    </row>
    <row r="17" spans="1:11" x14ac:dyDescent="0.35">
      <c r="A17" s="2" t="s">
        <v>25</v>
      </c>
      <c r="B17" s="3" t="s">
        <v>28</v>
      </c>
      <c r="C17" s="4"/>
      <c r="D17" s="4" t="s">
        <v>17</v>
      </c>
      <c r="E17" s="7" t="s">
        <v>20</v>
      </c>
      <c r="F17" s="7" t="s">
        <v>20</v>
      </c>
      <c r="G17" s="7" t="s">
        <v>20</v>
      </c>
      <c r="H17" s="4"/>
      <c r="I17" s="4"/>
      <c r="J17" s="4"/>
      <c r="K17" s="4"/>
    </row>
    <row r="18" spans="1:11" x14ac:dyDescent="0.35">
      <c r="A18" s="2" t="s">
        <v>29</v>
      </c>
      <c r="B18" s="3" t="s">
        <v>30</v>
      </c>
      <c r="C18" s="4"/>
      <c r="D18" s="4" t="s">
        <v>15</v>
      </c>
      <c r="E18" s="5" t="s">
        <v>16</v>
      </c>
      <c r="F18" s="9" t="s">
        <v>23</v>
      </c>
      <c r="G18" s="9" t="s">
        <v>23</v>
      </c>
      <c r="H18" s="4"/>
      <c r="I18" s="4"/>
      <c r="J18" s="4"/>
      <c r="K18" s="4"/>
    </row>
    <row r="19" spans="1:11" x14ac:dyDescent="0.35">
      <c r="A19" s="2" t="s">
        <v>29</v>
      </c>
      <c r="B19" s="3" t="s">
        <v>30</v>
      </c>
      <c r="C19" s="4"/>
      <c r="D19" s="4" t="s">
        <v>17</v>
      </c>
      <c r="E19" s="5" t="s">
        <v>16</v>
      </c>
      <c r="F19" s="9" t="s">
        <v>23</v>
      </c>
      <c r="G19" s="9" t="s">
        <v>23</v>
      </c>
      <c r="H19" s="4"/>
      <c r="I19" s="4"/>
      <c r="J19" s="4"/>
      <c r="K19" s="4"/>
    </row>
    <row r="20" spans="1:11" x14ac:dyDescent="0.35">
      <c r="A20" s="2" t="s">
        <v>29</v>
      </c>
      <c r="B20" s="3" t="s">
        <v>31</v>
      </c>
      <c r="C20" s="4"/>
      <c r="D20" s="4" t="s">
        <v>15</v>
      </c>
      <c r="E20" s="5" t="s">
        <v>16</v>
      </c>
      <c r="F20" s="6" t="s">
        <v>18</v>
      </c>
      <c r="G20" s="6" t="s">
        <v>18</v>
      </c>
      <c r="H20" s="4"/>
      <c r="I20" s="4"/>
      <c r="J20" s="4"/>
      <c r="K20" s="4"/>
    </row>
    <row r="21" spans="1:11" x14ac:dyDescent="0.35">
      <c r="A21" s="2" t="s">
        <v>29</v>
      </c>
      <c r="B21" s="3" t="s">
        <v>31</v>
      </c>
      <c r="C21" s="4"/>
      <c r="D21" s="4" t="s">
        <v>17</v>
      </c>
      <c r="E21" s="6" t="s">
        <v>18</v>
      </c>
      <c r="F21" s="6" t="s">
        <v>18</v>
      </c>
      <c r="G21" s="6" t="s">
        <v>18</v>
      </c>
      <c r="H21" s="4"/>
      <c r="I21" s="4"/>
      <c r="J21" s="4"/>
      <c r="K21" s="4"/>
    </row>
    <row r="22" spans="1:11" x14ac:dyDescent="0.35">
      <c r="A22" s="2" t="s">
        <v>29</v>
      </c>
      <c r="B22" s="3" t="s">
        <v>32</v>
      </c>
      <c r="C22" s="4"/>
      <c r="D22" s="4" t="s">
        <v>15</v>
      </c>
      <c r="E22" s="7" t="s">
        <v>20</v>
      </c>
      <c r="F22" s="7" t="s">
        <v>20</v>
      </c>
      <c r="G22" s="7" t="s">
        <v>20</v>
      </c>
      <c r="H22" s="4"/>
      <c r="I22" s="4"/>
      <c r="J22" s="4"/>
      <c r="K22" s="4"/>
    </row>
    <row r="23" spans="1:11" x14ac:dyDescent="0.35">
      <c r="A23" s="2" t="s">
        <v>29</v>
      </c>
      <c r="B23" s="3" t="s">
        <v>32</v>
      </c>
      <c r="C23" s="4"/>
      <c r="D23" s="4" t="s">
        <v>17</v>
      </c>
      <c r="E23" s="7" t="s">
        <v>20</v>
      </c>
      <c r="F23" s="7" t="s">
        <v>20</v>
      </c>
      <c r="G23" s="7" t="s">
        <v>20</v>
      </c>
      <c r="H23" s="4"/>
      <c r="I23" s="4"/>
      <c r="J23" s="4"/>
      <c r="K23" s="4"/>
    </row>
    <row r="24" spans="1:11" x14ac:dyDescent="0.35">
      <c r="A24" s="2" t="s">
        <v>33</v>
      </c>
      <c r="B24" s="3" t="s">
        <v>34</v>
      </c>
      <c r="C24" s="4" t="s">
        <v>35</v>
      </c>
      <c r="D24" s="4" t="s">
        <v>36</v>
      </c>
      <c r="E24" s="5" t="s">
        <v>16</v>
      </c>
      <c r="F24" s="5" t="s">
        <v>16</v>
      </c>
      <c r="G24" s="5" t="s">
        <v>16</v>
      </c>
      <c r="H24" s="4"/>
      <c r="I24" s="4"/>
      <c r="J24" s="4"/>
      <c r="K24" s="4"/>
    </row>
    <row r="25" spans="1:11" x14ac:dyDescent="0.35">
      <c r="A25" s="2" t="s">
        <v>33</v>
      </c>
      <c r="B25" s="3" t="s">
        <v>34</v>
      </c>
      <c r="C25" s="4" t="s">
        <v>37</v>
      </c>
      <c r="D25" s="4" t="s">
        <v>36</v>
      </c>
      <c r="E25" s="5" t="s">
        <v>16</v>
      </c>
      <c r="F25" s="5" t="s">
        <v>16</v>
      </c>
      <c r="G25" s="5" t="s">
        <v>16</v>
      </c>
      <c r="H25" s="4"/>
      <c r="I25" s="4"/>
      <c r="J25" s="4"/>
      <c r="K25" s="4"/>
    </row>
    <row r="26" spans="1:11" x14ac:dyDescent="0.35">
      <c r="A26" s="2" t="s">
        <v>33</v>
      </c>
      <c r="B26" s="3" t="s">
        <v>34</v>
      </c>
      <c r="C26" s="4" t="s">
        <v>38</v>
      </c>
      <c r="D26" s="4" t="s">
        <v>36</v>
      </c>
      <c r="E26" s="5" t="s">
        <v>16</v>
      </c>
      <c r="F26" s="5" t="s">
        <v>16</v>
      </c>
      <c r="G26" s="5" t="s">
        <v>16</v>
      </c>
      <c r="H26" s="4"/>
      <c r="I26" s="4"/>
      <c r="J26" s="4"/>
      <c r="K26" s="4"/>
    </row>
    <row r="27" spans="1:11" x14ac:dyDescent="0.35">
      <c r="A27" s="2" t="s">
        <v>33</v>
      </c>
      <c r="B27" s="3" t="s">
        <v>34</v>
      </c>
      <c r="C27" s="4" t="s">
        <v>39</v>
      </c>
      <c r="D27" s="4" t="s">
        <v>36</v>
      </c>
      <c r="E27" s="5" t="s">
        <v>16</v>
      </c>
      <c r="F27" s="5" t="s">
        <v>16</v>
      </c>
      <c r="G27" s="5" t="s">
        <v>16</v>
      </c>
      <c r="H27" s="4"/>
      <c r="I27" s="4"/>
      <c r="J27" s="4"/>
      <c r="K27" s="4"/>
    </row>
    <row r="28" spans="1:11" x14ac:dyDescent="0.35">
      <c r="A28" s="2" t="s">
        <v>33</v>
      </c>
      <c r="B28" s="3" t="s">
        <v>34</v>
      </c>
      <c r="C28" s="4" t="s">
        <v>40</v>
      </c>
      <c r="D28" s="4" t="s">
        <v>36</v>
      </c>
      <c r="E28" s="7" t="s">
        <v>20</v>
      </c>
      <c r="F28" s="5" t="s">
        <v>16</v>
      </c>
      <c r="G28" s="7" t="s">
        <v>20</v>
      </c>
      <c r="H28" s="4"/>
      <c r="I28" s="4"/>
      <c r="J28" s="4"/>
      <c r="K28" s="4"/>
    </row>
    <row r="29" spans="1:11" x14ac:dyDescent="0.35">
      <c r="A29" s="2" t="s">
        <v>33</v>
      </c>
      <c r="B29" s="3" t="s">
        <v>34</v>
      </c>
      <c r="C29" s="4" t="s">
        <v>41</v>
      </c>
      <c r="D29" s="4" t="s">
        <v>36</v>
      </c>
      <c r="E29" s="5" t="s">
        <v>16</v>
      </c>
      <c r="F29" s="5" t="s">
        <v>16</v>
      </c>
      <c r="G29" s="5" t="s">
        <v>16</v>
      </c>
      <c r="H29" s="4"/>
      <c r="I29" s="4"/>
      <c r="J29" s="4"/>
      <c r="K29" s="4"/>
    </row>
    <row r="30" spans="1:11" x14ac:dyDescent="0.35">
      <c r="A30" s="2" t="s">
        <v>33</v>
      </c>
      <c r="B30" s="3" t="s">
        <v>42</v>
      </c>
      <c r="C30" s="4" t="s">
        <v>43</v>
      </c>
      <c r="D30" s="4" t="s">
        <v>36</v>
      </c>
      <c r="E30" s="5" t="s">
        <v>16</v>
      </c>
      <c r="F30" s="5" t="s">
        <v>16</v>
      </c>
      <c r="G30" s="5" t="s">
        <v>16</v>
      </c>
      <c r="H30" s="4"/>
      <c r="I30" s="4"/>
      <c r="J30" s="4"/>
      <c r="K30" s="4"/>
    </row>
    <row r="31" spans="1:11" x14ac:dyDescent="0.35">
      <c r="A31" s="2" t="s">
        <v>33</v>
      </c>
      <c r="B31" s="3" t="s">
        <v>44</v>
      </c>
      <c r="C31" s="4" t="s">
        <v>43</v>
      </c>
      <c r="D31" s="4" t="s">
        <v>36</v>
      </c>
      <c r="E31" s="5" t="s">
        <v>16</v>
      </c>
      <c r="F31" s="9" t="s">
        <v>23</v>
      </c>
      <c r="G31" s="9" t="s">
        <v>23</v>
      </c>
      <c r="H31" s="4"/>
      <c r="I31" s="4"/>
      <c r="J31" s="4"/>
      <c r="K31" s="4"/>
    </row>
    <row r="32" spans="1:11" x14ac:dyDescent="0.35">
      <c r="A32" s="2" t="s">
        <v>33</v>
      </c>
      <c r="B32" s="3" t="s">
        <v>44</v>
      </c>
      <c r="C32" s="4" t="s">
        <v>45</v>
      </c>
      <c r="D32" s="4" t="s">
        <v>36</v>
      </c>
      <c r="E32" s="7" t="s">
        <v>20</v>
      </c>
      <c r="F32" s="9" t="s">
        <v>23</v>
      </c>
      <c r="G32" s="9" t="s">
        <v>23</v>
      </c>
      <c r="H32" s="4"/>
      <c r="I32" s="4"/>
      <c r="J32" s="4"/>
      <c r="K32" s="4"/>
    </row>
    <row r="33" spans="1:11" x14ac:dyDescent="0.35">
      <c r="A33" s="2" t="s">
        <v>33</v>
      </c>
      <c r="B33" s="3" t="s">
        <v>46</v>
      </c>
      <c r="C33" s="4"/>
      <c r="D33" s="4" t="s">
        <v>36</v>
      </c>
      <c r="E33" s="7" t="s">
        <v>20</v>
      </c>
      <c r="F33" s="9" t="s">
        <v>23</v>
      </c>
      <c r="G33" s="9" t="s">
        <v>23</v>
      </c>
      <c r="H33" s="4"/>
      <c r="I33" s="4"/>
      <c r="J33" s="4"/>
      <c r="K33" s="4"/>
    </row>
    <row r="34" spans="1:11" x14ac:dyDescent="0.35">
      <c r="A34" s="2" t="s">
        <v>47</v>
      </c>
      <c r="B34" s="3" t="s">
        <v>48</v>
      </c>
      <c r="C34" s="4"/>
      <c r="D34" s="4" t="s">
        <v>15</v>
      </c>
      <c r="E34" s="5" t="s">
        <v>16</v>
      </c>
      <c r="F34" s="5" t="s">
        <v>16</v>
      </c>
      <c r="G34" s="5" t="s">
        <v>16</v>
      </c>
      <c r="H34" s="4"/>
      <c r="I34" s="4"/>
      <c r="J34" s="4"/>
      <c r="K34" s="4"/>
    </row>
    <row r="35" spans="1:11" x14ac:dyDescent="0.35">
      <c r="A35" s="2" t="s">
        <v>47</v>
      </c>
      <c r="B35" s="3" t="s">
        <v>48</v>
      </c>
      <c r="C35" s="4"/>
      <c r="D35" s="4" t="s">
        <v>17</v>
      </c>
      <c r="E35" s="5" t="s">
        <v>16</v>
      </c>
      <c r="F35" s="5" t="s">
        <v>16</v>
      </c>
      <c r="G35" s="5" t="s">
        <v>16</v>
      </c>
      <c r="H35" s="4"/>
      <c r="I35" s="4"/>
      <c r="J35" s="4"/>
      <c r="K35" s="4"/>
    </row>
    <row r="36" spans="1:11" x14ac:dyDescent="0.35">
      <c r="A36" s="2" t="s">
        <v>47</v>
      </c>
      <c r="B36" s="3" t="s">
        <v>49</v>
      </c>
      <c r="C36" s="4"/>
      <c r="D36" s="4" t="s">
        <v>15</v>
      </c>
      <c r="E36" s="6" t="s">
        <v>18</v>
      </c>
      <c r="F36" s="6" t="s">
        <v>18</v>
      </c>
      <c r="G36" s="6" t="s">
        <v>18</v>
      </c>
      <c r="H36" s="4"/>
      <c r="I36" s="4"/>
      <c r="J36" s="4"/>
      <c r="K36" s="4"/>
    </row>
    <row r="37" spans="1:11" x14ac:dyDescent="0.35">
      <c r="A37" s="2" t="s">
        <v>47</v>
      </c>
      <c r="B37" s="3" t="s">
        <v>49</v>
      </c>
      <c r="C37" s="4"/>
      <c r="D37" s="4" t="s">
        <v>17</v>
      </c>
      <c r="E37" s="7" t="s">
        <v>20</v>
      </c>
      <c r="F37" s="7" t="s">
        <v>20</v>
      </c>
      <c r="G37" s="7" t="s">
        <v>20</v>
      </c>
      <c r="H37" s="4"/>
      <c r="I37" s="4"/>
      <c r="J37" s="4"/>
      <c r="K37" s="4"/>
    </row>
    <row r="38" spans="1:11" x14ac:dyDescent="0.35">
      <c r="A38" s="2" t="s">
        <v>47</v>
      </c>
      <c r="B38" s="3" t="s">
        <v>50</v>
      </c>
      <c r="C38" s="4"/>
      <c r="D38" s="4" t="s">
        <v>15</v>
      </c>
      <c r="E38" s="7" t="s">
        <v>20</v>
      </c>
      <c r="F38" s="7" t="s">
        <v>20</v>
      </c>
      <c r="G38" s="7" t="s">
        <v>20</v>
      </c>
      <c r="H38" s="4"/>
      <c r="I38" s="4"/>
      <c r="J38" s="4"/>
      <c r="K38" s="4"/>
    </row>
    <row r="39" spans="1:11" x14ac:dyDescent="0.35">
      <c r="A39" s="2" t="s">
        <v>47</v>
      </c>
      <c r="B39" s="3" t="s">
        <v>50</v>
      </c>
      <c r="C39" s="4"/>
      <c r="D39" s="4" t="s">
        <v>17</v>
      </c>
      <c r="E39" s="7" t="s">
        <v>20</v>
      </c>
      <c r="F39" s="7" t="s">
        <v>20</v>
      </c>
      <c r="G39" s="7" t="s">
        <v>20</v>
      </c>
      <c r="H39" s="4"/>
      <c r="I39" s="4"/>
      <c r="J39" s="4"/>
      <c r="K39" s="4"/>
    </row>
    <row r="40" spans="1:11" x14ac:dyDescent="0.35">
      <c r="A40" s="2" t="s">
        <v>47</v>
      </c>
      <c r="B40" s="3" t="s">
        <v>51</v>
      </c>
      <c r="C40" s="4" t="s">
        <v>52</v>
      </c>
      <c r="D40" s="4" t="s">
        <v>52</v>
      </c>
      <c r="E40" s="7" t="s">
        <v>20</v>
      </c>
      <c r="F40" s="7" t="s">
        <v>20</v>
      </c>
      <c r="G40" s="7" t="s">
        <v>20</v>
      </c>
      <c r="H40" s="4"/>
      <c r="I40" s="4"/>
      <c r="J40" s="4"/>
      <c r="K40" s="4"/>
    </row>
    <row r="41" spans="1:11" x14ac:dyDescent="0.35">
      <c r="A41" s="2" t="s">
        <v>53</v>
      </c>
      <c r="B41" s="3" t="s">
        <v>54</v>
      </c>
      <c r="C41" s="4" t="s">
        <v>55</v>
      </c>
      <c r="D41" s="4" t="s">
        <v>36</v>
      </c>
      <c r="E41" s="5" t="s">
        <v>16</v>
      </c>
      <c r="F41" s="7" t="s">
        <v>20</v>
      </c>
      <c r="G41" s="5" t="s">
        <v>16</v>
      </c>
      <c r="H41" s="4"/>
      <c r="I41" s="4"/>
      <c r="J41" s="4"/>
      <c r="K41" s="4"/>
    </row>
    <row r="42" spans="1:11" x14ac:dyDescent="0.35">
      <c r="A42" s="2" t="s">
        <v>53</v>
      </c>
      <c r="B42" s="3" t="s">
        <v>54</v>
      </c>
      <c r="C42" s="4" t="s">
        <v>35</v>
      </c>
      <c r="D42" s="4" t="s">
        <v>36</v>
      </c>
      <c r="E42" s="5" t="s">
        <v>16</v>
      </c>
      <c r="F42" s="7" t="s">
        <v>20</v>
      </c>
      <c r="G42" s="7" t="s">
        <v>20</v>
      </c>
      <c r="H42" s="4"/>
      <c r="I42" s="4"/>
      <c r="J42" s="4"/>
      <c r="K42" s="4"/>
    </row>
  </sheetData>
  <autoFilter ref="A3:K42" xr:uid="{00000000-0009-0000-0000-000000000000}"/>
  <mergeCells count="2">
    <mergeCell ref="A1:K1"/>
    <mergeCell ref="A2:K2"/>
  </mergeCells>
  <conditionalFormatting sqref="E4:G42">
    <cfRule type="cellIs" dxfId="4" priority="2" operator="equal">
      <formula>"No prazo"</formula>
    </cfRule>
    <cfRule type="cellIs" dxfId="3" priority="3" operator="equal">
      <formula>"Atenção"</formula>
    </cfRule>
    <cfRule type="cellIs" dxfId="2" priority="4" operator="equal">
      <formula>"Crítico"</formula>
    </cfRule>
    <cfRule type="cellIs" dxfId="1" priority="5" operator="equal">
      <formula>"Não iniciado"</formula>
    </cfRule>
    <cfRule type="cellIs" dxfId="0" priority="6" operator="equal">
      <formula>"N/A"</formula>
    </cfRule>
  </conditionalFormatting>
  <dataValidations count="1">
    <dataValidation type="list" allowBlank="1" sqref="E4:G42" xr:uid="{00000000-0002-0000-0000-000000000000}">
      <formula1>"No prazo,Atenção,Crítico,Não iniciado,N/A"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Normal="100" workbookViewId="0">
      <selection sqref="A1:H1"/>
    </sheetView>
  </sheetViews>
  <sheetFormatPr defaultColWidth="8.7265625" defaultRowHeight="14.5" x14ac:dyDescent="0.35"/>
  <cols>
    <col min="1" max="1" width="26" customWidth="1"/>
    <col min="2" max="4" width="11" customWidth="1"/>
    <col min="5" max="5" width="13" customWidth="1"/>
    <col min="6" max="7" width="12" customWidth="1"/>
    <col min="8" max="8" width="9" customWidth="1"/>
  </cols>
  <sheetData>
    <row r="1" spans="1:8" ht="30" customHeight="1" x14ac:dyDescent="0.35">
      <c r="A1" s="22" t="s">
        <v>56</v>
      </c>
      <c r="B1" s="22"/>
      <c r="C1" s="22"/>
      <c r="D1" s="22"/>
      <c r="E1" s="22"/>
      <c r="F1" s="22"/>
      <c r="G1" s="22"/>
      <c r="H1" s="22"/>
    </row>
    <row r="3" spans="1:8" ht="24" customHeight="1" x14ac:dyDescent="0.35">
      <c r="A3" s="1" t="s">
        <v>2</v>
      </c>
      <c r="B3" s="1" t="s">
        <v>16</v>
      </c>
      <c r="C3" s="1" t="s">
        <v>18</v>
      </c>
      <c r="D3" s="1" t="s">
        <v>21</v>
      </c>
      <c r="E3" s="1" t="s">
        <v>20</v>
      </c>
      <c r="F3" s="1" t="s">
        <v>57</v>
      </c>
      <c r="G3" s="1" t="s">
        <v>58</v>
      </c>
      <c r="H3" s="1" t="s">
        <v>59</v>
      </c>
    </row>
    <row r="4" spans="1:8" x14ac:dyDescent="0.35">
      <c r="A4" s="10" t="s">
        <v>13</v>
      </c>
      <c r="B4" s="11">
        <f>COUNTIFS(Tracker!$A$4:$A$42,$A4,Tracker!$E$4:$E$42,"No prazo")+COUNTIFS(Tracker!$A$4:$A$42,$A4,Tracker!$F$4:$F$42,"No prazo")+COUNTIFS(Tracker!$A$4:$A$42,$A4,Tracker!$G$4:$G$42,"No prazo")</f>
        <v>9</v>
      </c>
      <c r="C4" s="11">
        <f>COUNTIFS(Tracker!$A$4:$A$42,$A4,Tracker!$E$4:$E$42,"Atenção")+COUNTIFS(Tracker!$A$4:$A$42,$A4,Tracker!$F$4:$F$42,"Atenção")+COUNTIFS(Tracker!$A$4:$A$42,$A4,Tracker!$G$4:$G$42,"Atenção")</f>
        <v>1</v>
      </c>
      <c r="D4" s="11">
        <f>COUNTIFS(Tracker!$A$4:$A$42,$A4,Tracker!$E$4:$E$42,"Crítico")+COUNTIFS(Tracker!$A$4:$A$42,$A4,Tracker!$F$4:$F$42,"Crítico")+COUNTIFS(Tracker!$A$4:$A$42,$A4,Tracker!$G$4:$G$42,"Crítico")</f>
        <v>2</v>
      </c>
      <c r="E4" s="11">
        <f>COUNTIFS(Tracker!$A$4:$A$42,$A4,Tracker!$E$4:$E$42,"Não iniciado")+COUNTIFS(Tracker!$A$4:$A$42,$A4,Tracker!$F$4:$F$42,"Não iniciado")+COUNTIFS(Tracker!$A$4:$A$42,$A4,Tracker!$G$4:$G$42,"Não iniciado")</f>
        <v>8</v>
      </c>
      <c r="F4" s="11">
        <f t="shared" ref="F4:F9" si="0">SUM(B4:E4)</f>
        <v>20</v>
      </c>
      <c r="G4" s="12">
        <f t="shared" ref="G4:G10" si="1">IF(F4=0,0,B4/F4)</f>
        <v>0.45</v>
      </c>
      <c r="H4" s="11" t="str">
        <f t="shared" ref="H4:H9" si="2">IF(D4&gt;0,"🔴",IF((C4+E4)&gt;B4,"🟡","🟢"))</f>
        <v>🔴</v>
      </c>
    </row>
    <row r="5" spans="1:8" x14ac:dyDescent="0.35">
      <c r="A5" s="10" t="s">
        <v>25</v>
      </c>
      <c r="B5" s="11">
        <f>COUNTIFS(Tracker!$A$4:$A$42,$A5,Tracker!$E$4:$E$42,"No prazo")+COUNTIFS(Tracker!$A$4:$A$42,$A5,Tracker!$F$4:$F$42,"No prazo")+COUNTIFS(Tracker!$A$4:$A$42,$A5,Tracker!$G$4:$G$42,"No prazo")</f>
        <v>7</v>
      </c>
      <c r="C5" s="11">
        <f>COUNTIFS(Tracker!$A$4:$A$42,$A5,Tracker!$E$4:$E$42,"Atenção")+COUNTIFS(Tracker!$A$4:$A$42,$A5,Tracker!$F$4:$F$42,"Atenção")+COUNTIFS(Tracker!$A$4:$A$42,$A5,Tracker!$G$4:$G$42,"Atenção")</f>
        <v>3</v>
      </c>
      <c r="D5" s="11">
        <f>COUNTIFS(Tracker!$A$4:$A$42,$A5,Tracker!$E$4:$E$42,"Crítico")+COUNTIFS(Tracker!$A$4:$A$42,$A5,Tracker!$F$4:$F$42,"Crítico")+COUNTIFS(Tracker!$A$4:$A$42,$A5,Tracker!$G$4:$G$42,"Crítico")</f>
        <v>0</v>
      </c>
      <c r="E5" s="11">
        <f>COUNTIFS(Tracker!$A$4:$A$42,$A5,Tracker!$E$4:$E$42,"Não iniciado")+COUNTIFS(Tracker!$A$4:$A$42,$A5,Tracker!$F$4:$F$42,"Não iniciado")+COUNTIFS(Tracker!$A$4:$A$42,$A5,Tracker!$G$4:$G$42,"Não iniciado")</f>
        <v>8</v>
      </c>
      <c r="F5" s="11">
        <f t="shared" si="0"/>
        <v>18</v>
      </c>
      <c r="G5" s="12">
        <f t="shared" si="1"/>
        <v>0.3888888888888889</v>
      </c>
      <c r="H5" s="11" t="str">
        <f t="shared" si="2"/>
        <v>🟡</v>
      </c>
    </row>
    <row r="6" spans="1:8" x14ac:dyDescent="0.35">
      <c r="A6" s="10" t="s">
        <v>29</v>
      </c>
      <c r="B6" s="11">
        <f>COUNTIFS(Tracker!$A$4:$A$42,$A6,Tracker!$E$4:$E$42,"No prazo")+COUNTIFS(Tracker!$A$4:$A$42,$A6,Tracker!$F$4:$F$42,"No prazo")+COUNTIFS(Tracker!$A$4:$A$42,$A6,Tracker!$G$4:$G$42,"No prazo")</f>
        <v>3</v>
      </c>
      <c r="C6" s="11">
        <f>COUNTIFS(Tracker!$A$4:$A$42,$A6,Tracker!$E$4:$E$42,"Atenção")+COUNTIFS(Tracker!$A$4:$A$42,$A6,Tracker!$F$4:$F$42,"Atenção")+COUNTIFS(Tracker!$A$4:$A$42,$A6,Tracker!$G$4:$G$42,"Atenção")</f>
        <v>5</v>
      </c>
      <c r="D6" s="11">
        <f>COUNTIFS(Tracker!$A$4:$A$42,$A6,Tracker!$E$4:$E$42,"Crítico")+COUNTIFS(Tracker!$A$4:$A$42,$A6,Tracker!$F$4:$F$42,"Crítico")+COUNTIFS(Tracker!$A$4:$A$42,$A6,Tracker!$G$4:$G$42,"Crítico")</f>
        <v>0</v>
      </c>
      <c r="E6" s="11">
        <f>COUNTIFS(Tracker!$A$4:$A$42,$A6,Tracker!$E$4:$E$42,"Não iniciado")+COUNTIFS(Tracker!$A$4:$A$42,$A6,Tracker!$F$4:$F$42,"Não iniciado")+COUNTIFS(Tracker!$A$4:$A$42,$A6,Tracker!$G$4:$G$42,"Não iniciado")</f>
        <v>6</v>
      </c>
      <c r="F6" s="11">
        <f t="shared" si="0"/>
        <v>14</v>
      </c>
      <c r="G6" s="12">
        <f t="shared" si="1"/>
        <v>0.21428571428571427</v>
      </c>
      <c r="H6" s="11" t="str">
        <f t="shared" si="2"/>
        <v>🟡</v>
      </c>
    </row>
    <row r="7" spans="1:8" x14ac:dyDescent="0.35">
      <c r="A7" s="10" t="s">
        <v>33</v>
      </c>
      <c r="B7" s="11">
        <f>COUNTIFS(Tracker!$A$4:$A$42,$A7,Tracker!$E$4:$E$42,"No prazo")+COUNTIFS(Tracker!$A$4:$A$42,$A7,Tracker!$F$4:$F$42,"No prazo")+COUNTIFS(Tracker!$A$4:$A$42,$A7,Tracker!$G$4:$G$42,"No prazo")</f>
        <v>20</v>
      </c>
      <c r="C7" s="11">
        <f>COUNTIFS(Tracker!$A$4:$A$42,$A7,Tracker!$E$4:$E$42,"Atenção")+COUNTIFS(Tracker!$A$4:$A$42,$A7,Tracker!$F$4:$F$42,"Atenção")+COUNTIFS(Tracker!$A$4:$A$42,$A7,Tracker!$G$4:$G$42,"Atenção")</f>
        <v>0</v>
      </c>
      <c r="D7" s="11">
        <f>COUNTIFS(Tracker!$A$4:$A$42,$A7,Tracker!$E$4:$E$42,"Crítico")+COUNTIFS(Tracker!$A$4:$A$42,$A7,Tracker!$F$4:$F$42,"Crítico")+COUNTIFS(Tracker!$A$4:$A$42,$A7,Tracker!$G$4:$G$42,"Crítico")</f>
        <v>0</v>
      </c>
      <c r="E7" s="11">
        <f>COUNTIFS(Tracker!$A$4:$A$42,$A7,Tracker!$E$4:$E$42,"Não iniciado")+COUNTIFS(Tracker!$A$4:$A$42,$A7,Tracker!$F$4:$F$42,"Não iniciado")+COUNTIFS(Tracker!$A$4:$A$42,$A7,Tracker!$G$4:$G$42,"Não iniciado")</f>
        <v>4</v>
      </c>
      <c r="F7" s="11">
        <f t="shared" si="0"/>
        <v>24</v>
      </c>
      <c r="G7" s="12">
        <f t="shared" si="1"/>
        <v>0.83333333333333337</v>
      </c>
      <c r="H7" s="11" t="str">
        <f t="shared" si="2"/>
        <v>🟢</v>
      </c>
    </row>
    <row r="8" spans="1:8" x14ac:dyDescent="0.35">
      <c r="A8" s="10" t="s">
        <v>47</v>
      </c>
      <c r="B8" s="11">
        <f>COUNTIFS(Tracker!$A$4:$A$42,$A8,Tracker!$E$4:$E$42,"No prazo")+COUNTIFS(Tracker!$A$4:$A$42,$A8,Tracker!$F$4:$F$42,"No prazo")+COUNTIFS(Tracker!$A$4:$A$42,$A8,Tracker!$G$4:$G$42,"No prazo")</f>
        <v>6</v>
      </c>
      <c r="C8" s="11">
        <f>COUNTIFS(Tracker!$A$4:$A$42,$A8,Tracker!$E$4:$E$42,"Atenção")+COUNTIFS(Tracker!$A$4:$A$42,$A8,Tracker!$F$4:$F$42,"Atenção")+COUNTIFS(Tracker!$A$4:$A$42,$A8,Tracker!$G$4:$G$42,"Atenção")</f>
        <v>3</v>
      </c>
      <c r="D8" s="11">
        <f>COUNTIFS(Tracker!$A$4:$A$42,$A8,Tracker!$E$4:$E$42,"Crítico")+COUNTIFS(Tracker!$A$4:$A$42,$A8,Tracker!$F$4:$F$42,"Crítico")+COUNTIFS(Tracker!$A$4:$A$42,$A8,Tracker!$G$4:$G$42,"Crítico")</f>
        <v>0</v>
      </c>
      <c r="E8" s="11">
        <f>COUNTIFS(Tracker!$A$4:$A$42,$A8,Tracker!$E$4:$E$42,"Não iniciado")+COUNTIFS(Tracker!$A$4:$A$42,$A8,Tracker!$F$4:$F$42,"Não iniciado")+COUNTIFS(Tracker!$A$4:$A$42,$A8,Tracker!$G$4:$G$42,"Não iniciado")</f>
        <v>12</v>
      </c>
      <c r="F8" s="11">
        <f t="shared" si="0"/>
        <v>21</v>
      </c>
      <c r="G8" s="12">
        <f t="shared" si="1"/>
        <v>0.2857142857142857</v>
      </c>
      <c r="H8" s="11" t="str">
        <f t="shared" si="2"/>
        <v>🟡</v>
      </c>
    </row>
    <row r="9" spans="1:8" x14ac:dyDescent="0.35">
      <c r="A9" s="10" t="s">
        <v>53</v>
      </c>
      <c r="B9" s="11">
        <f>COUNTIFS(Tracker!$A$4:$A$42,$A9,Tracker!$E$4:$E$42,"No prazo")+COUNTIFS(Tracker!$A$4:$A$42,$A9,Tracker!$F$4:$F$42,"No prazo")+COUNTIFS(Tracker!$A$4:$A$42,$A9,Tracker!$G$4:$G$42,"No prazo")</f>
        <v>3</v>
      </c>
      <c r="C9" s="11">
        <f>COUNTIFS(Tracker!$A$4:$A$42,$A9,Tracker!$E$4:$E$42,"Atenção")+COUNTIFS(Tracker!$A$4:$A$42,$A9,Tracker!$F$4:$F$42,"Atenção")+COUNTIFS(Tracker!$A$4:$A$42,$A9,Tracker!$G$4:$G$42,"Atenção")</f>
        <v>0</v>
      </c>
      <c r="D9" s="11">
        <f>COUNTIFS(Tracker!$A$4:$A$42,$A9,Tracker!$E$4:$E$42,"Crítico")+COUNTIFS(Tracker!$A$4:$A$42,$A9,Tracker!$F$4:$F$42,"Crítico")+COUNTIFS(Tracker!$A$4:$A$42,$A9,Tracker!$G$4:$G$42,"Crítico")</f>
        <v>0</v>
      </c>
      <c r="E9" s="11">
        <f>COUNTIFS(Tracker!$A$4:$A$42,$A9,Tracker!$E$4:$E$42,"Não iniciado")+COUNTIFS(Tracker!$A$4:$A$42,$A9,Tracker!$F$4:$F$42,"Não iniciado")+COUNTIFS(Tracker!$A$4:$A$42,$A9,Tracker!$G$4:$G$42,"Não iniciado")</f>
        <v>3</v>
      </c>
      <c r="F9" s="11">
        <f t="shared" si="0"/>
        <v>6</v>
      </c>
      <c r="G9" s="12">
        <f t="shared" si="1"/>
        <v>0.5</v>
      </c>
      <c r="H9" s="11" t="str">
        <f t="shared" si="2"/>
        <v>🟢</v>
      </c>
    </row>
    <row r="10" spans="1:8" x14ac:dyDescent="0.35">
      <c r="A10" s="13" t="s">
        <v>60</v>
      </c>
      <c r="B10" s="14">
        <f>SUM(B4:B9)</f>
        <v>48</v>
      </c>
      <c r="C10" s="14">
        <f>SUM(C4:C9)</f>
        <v>12</v>
      </c>
      <c r="D10" s="14">
        <f>SUM(D4:D9)</f>
        <v>2</v>
      </c>
      <c r="E10" s="14">
        <f>SUM(E4:E9)</f>
        <v>41</v>
      </c>
      <c r="F10" s="14">
        <f>SUM(F4:F9)</f>
        <v>103</v>
      </c>
      <c r="G10" s="15">
        <f t="shared" si="1"/>
        <v>0.46601941747572817</v>
      </c>
      <c r="H10" s="16"/>
    </row>
    <row r="12" spans="1:8" x14ac:dyDescent="0.35">
      <c r="A12" s="24" t="s">
        <v>61</v>
      </c>
      <c r="B12" s="24"/>
      <c r="C12" s="24"/>
      <c r="D12" s="24"/>
      <c r="E12" s="24"/>
      <c r="F12" s="24"/>
      <c r="G12" s="24"/>
      <c r="H12" s="24"/>
    </row>
  </sheetData>
  <mergeCells count="2">
    <mergeCell ref="A1:H1"/>
    <mergeCell ref="A12:H12"/>
  </mergeCells>
  <conditionalFormatting sqref="G4:G9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selection sqref="A1:C1"/>
    </sheetView>
  </sheetViews>
  <sheetFormatPr defaultColWidth="8.7265625" defaultRowHeight="14.5" x14ac:dyDescent="0.35"/>
  <cols>
    <col min="1" max="1" width="16" customWidth="1"/>
    <col min="2" max="2" width="45" customWidth="1"/>
  </cols>
  <sheetData>
    <row r="1" spans="1:3" ht="27.75" customHeight="1" x14ac:dyDescent="0.35">
      <c r="A1" s="25" t="s">
        <v>62</v>
      </c>
      <c r="B1" s="25"/>
      <c r="C1" s="25"/>
    </row>
    <row r="3" spans="1:3" x14ac:dyDescent="0.35">
      <c r="A3" s="17" t="s">
        <v>36</v>
      </c>
      <c r="B3" s="17" t="s">
        <v>63</v>
      </c>
    </row>
    <row r="4" spans="1:3" x14ac:dyDescent="0.35">
      <c r="A4" s="5" t="s">
        <v>16</v>
      </c>
      <c r="B4" s="18" t="s">
        <v>64</v>
      </c>
    </row>
    <row r="5" spans="1:3" x14ac:dyDescent="0.35">
      <c r="A5" s="6" t="s">
        <v>18</v>
      </c>
      <c r="B5" s="18" t="s">
        <v>65</v>
      </c>
    </row>
    <row r="6" spans="1:3" x14ac:dyDescent="0.35">
      <c r="A6" s="8" t="s">
        <v>21</v>
      </c>
      <c r="B6" s="18" t="s">
        <v>66</v>
      </c>
    </row>
    <row r="7" spans="1:3" x14ac:dyDescent="0.35">
      <c r="A7" s="7" t="s">
        <v>20</v>
      </c>
      <c r="B7" s="18" t="s">
        <v>67</v>
      </c>
    </row>
    <row r="8" spans="1:3" x14ac:dyDescent="0.35">
      <c r="A8" s="9" t="s">
        <v>23</v>
      </c>
      <c r="B8" s="18" t="s">
        <v>68</v>
      </c>
    </row>
    <row r="11" spans="1:3" x14ac:dyDescent="0.35">
      <c r="A11" s="19" t="s">
        <v>69</v>
      </c>
    </row>
    <row r="12" spans="1:3" x14ac:dyDescent="0.35">
      <c r="A12" s="20" t="s">
        <v>6</v>
      </c>
      <c r="B12" s="21" t="s">
        <v>70</v>
      </c>
    </row>
    <row r="13" spans="1:3" x14ac:dyDescent="0.35">
      <c r="A13" s="20" t="s">
        <v>7</v>
      </c>
      <c r="B13" s="21" t="s">
        <v>71</v>
      </c>
    </row>
    <row r="14" spans="1:3" x14ac:dyDescent="0.35">
      <c r="A14" s="20" t="s">
        <v>8</v>
      </c>
      <c r="B14" s="21" t="s">
        <v>72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Tracker</vt:lpstr>
      <vt:lpstr>Painel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Resck, Felipe</dc:creator>
  <cp:keywords/>
  <dc:description/>
  <cp:lastModifiedBy>Kuhnast, Nicolas</cp:lastModifiedBy>
  <cp:revision>0</cp:revision>
  <dcterms:created xsi:type="dcterms:W3CDTF">2026-07-28T16:59:41Z</dcterms:created>
  <dcterms:modified xsi:type="dcterms:W3CDTF">2026-09-03T13:23:23Z</dcterms:modified>
  <cp:category/>
  <cp:contentStatus/>
</cp:coreProperties>
</file>